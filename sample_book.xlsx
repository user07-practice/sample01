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ct16\Documents\sample01\"/>
    </mc:Choice>
  </mc:AlternateContent>
  <xr:revisionPtr revIDLastSave="0" documentId="13_ncr:1_{DC2DA359-D00C-40ED-8583-489AC758E8CC}" xr6:coauthVersionLast="47" xr6:coauthVersionMax="47" xr10:uidLastSave="{00000000-0000-0000-0000-000000000000}"/>
  <bookViews>
    <workbookView xWindow="-108" yWindow="-108" windowWidth="23256" windowHeight="12456" xr2:uid="{BF225344-2B12-4909-8088-39360917B0CA}"/>
  </bookViews>
  <sheets>
    <sheet name="記録" sheetId="2" r:id="rId1"/>
    <sheet name="説明" sheetId="3" r:id="rId2"/>
    <sheet name="万年カレンダー" sheetId="1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4" i="1" l="1"/>
  <c r="B4" i="1"/>
  <c r="C4" i="1"/>
  <c r="D4" i="1"/>
  <c r="E4" i="1"/>
  <c r="F4" i="1"/>
  <c r="G4" i="1"/>
  <c r="A5" i="1"/>
  <c r="B5" i="1"/>
  <c r="C5" i="1"/>
  <c r="D5" i="1"/>
  <c r="E5" i="1"/>
  <c r="F5" i="1"/>
  <c r="G5" i="1"/>
  <c r="A6" i="1"/>
  <c r="B6" i="1"/>
  <c r="C6" i="1"/>
  <c r="D6" i="1"/>
  <c r="E6" i="1"/>
  <c r="F6" i="1"/>
  <c r="G6" i="1"/>
  <c r="A7" i="1"/>
  <c r="B7" i="1"/>
  <c r="C7" i="1"/>
  <c r="D7" i="1"/>
  <c r="E7" i="1"/>
  <c r="F7" i="1"/>
  <c r="G7" i="1"/>
  <c r="A8" i="1"/>
  <c r="B8" i="1"/>
  <c r="C8" i="1"/>
  <c r="D8" i="1"/>
  <c r="E8" i="1"/>
  <c r="F8" i="1"/>
  <c r="G8" i="1"/>
  <c r="A9" i="1"/>
  <c r="B9" i="1"/>
  <c r="C9" i="1"/>
  <c r="D9" i="1"/>
  <c r="E9" i="1"/>
  <c r="F9" i="1"/>
  <c r="G9" i="1"/>
</calcChain>
</file>

<file path=xl/sharedStrings.xml><?xml version="1.0" encoding="utf-8"?>
<sst xmlns="http://schemas.openxmlformats.org/spreadsheetml/2006/main" count="14" uniqueCount="13">
  <si>
    <t>年</t>
  </si>
  <si>
    <t>月</t>
  </si>
  <si>
    <t>日</t>
  </si>
  <si>
    <t>火</t>
  </si>
  <si>
    <t>水</t>
  </si>
  <si>
    <t>木</t>
  </si>
  <si>
    <t>金</t>
  </si>
  <si>
    <t>土</t>
  </si>
  <si>
    <t>受講者名</t>
    <rPh sb="0" eb="4">
      <t>ジュコウシャメイ</t>
    </rPh>
    <phoneticPr fontId="5"/>
  </si>
  <si>
    <t>実施日</t>
    <rPh sb="0" eb="3">
      <t>ジッシビ</t>
    </rPh>
    <phoneticPr fontId="5"/>
  </si>
  <si>
    <t>学習記録</t>
    <rPh sb="0" eb="4">
      <t>ガクシュウキロク</t>
    </rPh>
    <phoneticPr fontId="5"/>
  </si>
  <si>
    <t>Git/GitHub学習用のExcelブックです</t>
    <rPh sb="10" eb="13">
      <t>ガクシュウヨウ</t>
    </rPh>
    <phoneticPr fontId="5"/>
  </si>
  <si>
    <t>ozaki</t>
    <phoneticPr fontId="5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</si>
</sst>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游ゴシック"/>
      <family val="2"/>
      <charset val="128"/>
      <scheme val="minor"/>
    </font>
    <font>
      <b/>
      <sz val="11"/>
      <color theme="1"/>
      <name val="游ゴシック"/>
      <family val="2"/>
      <charset val="128"/>
      <scheme val="minor"/>
    </font>
    <font>
      <b/>
      <sz val="11"/>
      <color rgb="FFFFFFFF"/>
      <name val="游ゴシック"/>
      <family val="2"/>
      <charset val="128"/>
      <scheme val="minor"/>
    </font>
    <font>
      <sz val="11"/>
      <color rgb="FFC00000"/>
      <name val="游ゴシック"/>
      <family val="2"/>
      <charset val="128"/>
      <scheme val="minor"/>
    </font>
    <font>
      <sz val="11"/>
      <color rgb="FF0070C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2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1" xfId="0" applyBorder="1">
      <alignment vertical="center"/>
    </xf>
    <xf numFmtId="56" fontId="0" fillId="0" borderId="0" xfId="0" applyNumberFormat="1">
      <alignment vertical="center"/>
    </xf>
    <xf numFmtId="56" fontId="0" fillId="0" borderId="1" xfId="0" applyNumberFormat="1" applyBorder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453D4A-DE5D-45B7-93F2-6FAC117EE4D2}">
  <dimension ref="B2:C4"/>
  <sheetViews>
    <sheetView tabSelected="1" workbookViewId="0">
      <selection activeCell="H6" sqref="H6"/>
    </sheetView>
  </sheetViews>
  <sheetFormatPr defaultRowHeight="18" x14ac:dyDescent="0.45"/>
  <cols>
    <col min="3" max="3" width="10.59765625" customWidth="1"/>
  </cols>
  <sheetData>
    <row r="2" spans="2:3" x14ac:dyDescent="0.45">
      <c r="B2" s="6" t="s">
        <v>8</v>
      </c>
      <c r="C2" s="6" t="s">
        <v>12</v>
      </c>
    </row>
    <row r="3" spans="2:3" x14ac:dyDescent="0.45">
      <c r="B3" s="6" t="s">
        <v>9</v>
      </c>
      <c r="C3" s="8">
        <v>46170</v>
      </c>
    </row>
    <row r="4" spans="2:3" x14ac:dyDescent="0.45">
      <c r="B4" t="s">
        <v>10</v>
      </c>
      <c r="C4" s="7"/>
    </row>
  </sheetData>
  <phoneticPr fontId="5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777766-EDAE-456C-9180-36CBBA1C0181}">
  <dimension ref="B2"/>
  <sheetViews>
    <sheetView workbookViewId="0">
      <selection activeCell="B3" sqref="B3"/>
    </sheetView>
  </sheetViews>
  <sheetFormatPr defaultRowHeight="18" x14ac:dyDescent="0.45"/>
  <sheetData>
    <row r="2" spans="2:2" x14ac:dyDescent="0.45">
      <c r="B2" t="s">
        <v>11</v>
      </c>
    </row>
  </sheetData>
  <phoneticPr fontId="5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E89EDC-D7E6-4653-A78F-C37A582A6F72}">
  <dimension ref="A1:G9"/>
  <sheetViews>
    <sheetView workbookViewId="0">
      <selection activeCell="B5" sqref="B5"/>
    </sheetView>
  </sheetViews>
  <sheetFormatPr defaultRowHeight="18" x14ac:dyDescent="0.45"/>
  <cols>
    <col min="1" max="7" width="6.59765625" customWidth="1"/>
  </cols>
  <sheetData>
    <row r="1" spans="1:7" x14ac:dyDescent="0.45">
      <c r="A1" s="2" t="s">
        <v>0</v>
      </c>
      <c r="B1" s="5">
        <v>2026</v>
      </c>
      <c r="C1" s="2" t="s">
        <v>1</v>
      </c>
      <c r="D1" s="5">
        <v>5</v>
      </c>
    </row>
    <row r="3" spans="1:7" x14ac:dyDescent="0.45">
      <c r="A3" s="1" t="s">
        <v>2</v>
      </c>
      <c r="B3" s="1" t="s">
        <v>1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</row>
    <row r="4" spans="1:7" x14ac:dyDescent="0.45">
      <c r="A4" s="3" t="str">
        <f>_xlfn.LET(_xlpm.startDate,DATE($B$1,$D$1,1),_xlpm.firstDayOfWeek,WEEKDAY(_xlpm.startDate),_xlpm.dayNum,1-_xlpm.firstDayOfWeek+1,_xlpm.lastDay,DAY(EOMONTH(_xlpm.startDate,0)),IF(AND(_xlpm.dayNum&gt;=1,_xlpm.dayNum&lt;=_xlpm.lastDay),_xlpm.dayNum,""))</f>
        <v/>
      </c>
      <c r="B4" s="2" t="str">
        <f>_xlfn.LET(_xlpm.startDate,DATE($B$1,$D$1,1),_xlpm.firstDayOfWeek,WEEKDAY(_xlpm.startDate),_xlpm.dayNum,2-_xlpm.firstDayOfWeek+1,_xlpm.lastDay,DAY(EOMONTH(_xlpm.startDate,0)),IF(AND(_xlpm.dayNum&gt;=1,_xlpm.dayNum&lt;=_xlpm.lastDay),_xlpm.dayNum,""))</f>
        <v/>
      </c>
      <c r="C4" s="2" t="str">
        <f>_xlfn.LET(_xlpm.startDate,DATE($B$1,$D$1,1),_xlpm.firstDayOfWeek,WEEKDAY(_xlpm.startDate),_xlpm.dayNum,3-_xlpm.firstDayOfWeek+1,_xlpm.lastDay,DAY(EOMONTH(_xlpm.startDate,0)),IF(AND(_xlpm.dayNum&gt;=1,_xlpm.dayNum&lt;=_xlpm.lastDay),_xlpm.dayNum,""))</f>
        <v/>
      </c>
      <c r="D4" s="2" t="str">
        <f>_xlfn.LET(_xlpm.startDate,DATE($B$1,$D$1,1),_xlpm.firstDayOfWeek,WEEKDAY(_xlpm.startDate),_xlpm.dayNum,4-_xlpm.firstDayOfWeek+1,_xlpm.lastDay,DAY(EOMONTH(_xlpm.startDate,0)),IF(AND(_xlpm.dayNum&gt;=1,_xlpm.dayNum&lt;=_xlpm.lastDay),_xlpm.dayNum,""))</f>
        <v/>
      </c>
      <c r="E4" s="2" t="str">
        <f>_xlfn.LET(_xlpm.startDate,DATE($B$1,$D$1,1),_xlpm.firstDayOfWeek,WEEKDAY(_xlpm.startDate),_xlpm.dayNum,5-_xlpm.firstDayOfWeek+1,_xlpm.lastDay,DAY(EOMONTH(_xlpm.startDate,0)),IF(AND(_xlpm.dayNum&gt;=1,_xlpm.dayNum&lt;=_xlpm.lastDay),_xlpm.dayNum,""))</f>
        <v/>
      </c>
      <c r="F4" s="2">
        <f>_xlfn.LET(_xlpm.startDate,DATE($B$1,$D$1,1),_xlpm.firstDayOfWeek,WEEKDAY(_xlpm.startDate),_xlpm.dayNum,6-_xlpm.firstDayOfWeek+1,_xlpm.lastDay,DAY(EOMONTH(_xlpm.startDate,0)),IF(AND(_xlpm.dayNum&gt;=1,_xlpm.dayNum&lt;=_xlpm.lastDay),_xlpm.dayNum,""))</f>
        <v>1</v>
      </c>
      <c r="G4" s="4">
        <f>_xlfn.LET(_xlpm.startDate,DATE($B$1,$D$1,1),_xlpm.firstDayOfWeek,WEEKDAY(_xlpm.startDate),_xlpm.dayNum,7-_xlpm.firstDayOfWeek+1,_xlpm.lastDay,DAY(EOMONTH(_xlpm.startDate,0)),IF(AND(_xlpm.dayNum&gt;=1,_xlpm.dayNum&lt;=_xlpm.lastDay),_xlpm.dayNum,""))</f>
        <v>2</v>
      </c>
    </row>
    <row r="5" spans="1:7" x14ac:dyDescent="0.45">
      <c r="A5" s="3">
        <f>_xlfn.LET(_xlpm.startDate,DATE($B$1,$D$1,1),_xlpm.firstDayOfWeek,WEEKDAY(_xlpm.startDate),_xlpm.dayNum,8-_xlpm.firstDayOfWeek+1,_xlpm.lastDay,DAY(EOMONTH(_xlpm.startDate,0)),IF(AND(_xlpm.dayNum&gt;=1,_xlpm.dayNum&lt;=_xlpm.lastDay),_xlpm.dayNum,""))</f>
        <v>3</v>
      </c>
      <c r="B5" s="2">
        <f>_xlfn.LET(_xlpm.startDate,DATE($B$1,$D$1,1),_xlpm.firstDayOfWeek,WEEKDAY(_xlpm.startDate),_xlpm.dayNum,9-_xlpm.firstDayOfWeek+1,_xlpm.lastDay,DAY(EOMONTH(_xlpm.startDate,0)),IF(AND(_xlpm.dayNum&gt;=1,_xlpm.dayNum&lt;=_xlpm.lastDay),_xlpm.dayNum,""))</f>
        <v>4</v>
      </c>
      <c r="C5" s="2">
        <f>_xlfn.LET(_xlpm.startDate,DATE($B$1,$D$1,1),_xlpm.firstDayOfWeek,WEEKDAY(_xlpm.startDate),_xlpm.dayNum,10-_xlpm.firstDayOfWeek+1,_xlpm.lastDay,DAY(EOMONTH(_xlpm.startDate,0)),IF(AND(_xlpm.dayNum&gt;=1,_xlpm.dayNum&lt;=_xlpm.lastDay),_xlpm.dayNum,""))</f>
        <v>5</v>
      </c>
      <c r="D5" s="2">
        <f>_xlfn.LET(_xlpm.startDate,DATE($B$1,$D$1,1),_xlpm.firstDayOfWeek,WEEKDAY(_xlpm.startDate),_xlpm.dayNum,11-_xlpm.firstDayOfWeek+1,_xlpm.lastDay,DAY(EOMONTH(_xlpm.startDate,0)),IF(AND(_xlpm.dayNum&gt;=1,_xlpm.dayNum&lt;=_xlpm.lastDay),_xlpm.dayNum,""))</f>
        <v>6</v>
      </c>
      <c r="E5" s="2">
        <f>_xlfn.LET(_xlpm.startDate,DATE($B$1,$D$1,1),_xlpm.firstDayOfWeek,WEEKDAY(_xlpm.startDate),_xlpm.dayNum,12-_xlpm.firstDayOfWeek+1,_xlpm.lastDay,DAY(EOMONTH(_xlpm.startDate,0)),IF(AND(_xlpm.dayNum&gt;=1,_xlpm.dayNum&lt;=_xlpm.lastDay),_xlpm.dayNum,""))</f>
        <v>7</v>
      </c>
      <c r="F5" s="2">
        <f>_xlfn.LET(_xlpm.startDate,DATE($B$1,$D$1,1),_xlpm.firstDayOfWeek,WEEKDAY(_xlpm.startDate),_xlpm.dayNum,13-_xlpm.firstDayOfWeek+1,_xlpm.lastDay,DAY(EOMONTH(_xlpm.startDate,0)),IF(AND(_xlpm.dayNum&gt;=1,_xlpm.dayNum&lt;=_xlpm.lastDay),_xlpm.dayNum,""))</f>
        <v>8</v>
      </c>
      <c r="G5" s="4">
        <f>_xlfn.LET(_xlpm.startDate,DATE($B$1,$D$1,1),_xlpm.firstDayOfWeek,WEEKDAY(_xlpm.startDate),_xlpm.dayNum,14-_xlpm.firstDayOfWeek+1,_xlpm.lastDay,DAY(EOMONTH(_xlpm.startDate,0)),IF(AND(_xlpm.dayNum&gt;=1,_xlpm.dayNum&lt;=_xlpm.lastDay),_xlpm.dayNum,""))</f>
        <v>9</v>
      </c>
    </row>
    <row r="6" spans="1:7" x14ac:dyDescent="0.45">
      <c r="A6" s="3">
        <f>_xlfn.LET(_xlpm.startDate,DATE($B$1,$D$1,1),_xlpm.firstDayOfWeek,WEEKDAY(_xlpm.startDate),_xlpm.dayNum,15-_xlpm.firstDayOfWeek+1,_xlpm.lastDay,DAY(EOMONTH(_xlpm.startDate,0)),IF(AND(_xlpm.dayNum&gt;=1,_xlpm.dayNum&lt;=_xlpm.lastDay),_xlpm.dayNum,""))</f>
        <v>10</v>
      </c>
      <c r="B6" s="2">
        <f>_xlfn.LET(_xlpm.startDate,DATE($B$1,$D$1,1),_xlpm.firstDayOfWeek,WEEKDAY(_xlpm.startDate),_xlpm.dayNum,16-_xlpm.firstDayOfWeek+1,_xlpm.lastDay,DAY(EOMONTH(_xlpm.startDate,0)),IF(AND(_xlpm.dayNum&gt;=1,_xlpm.dayNum&lt;=_xlpm.lastDay),_xlpm.dayNum,""))</f>
        <v>11</v>
      </c>
      <c r="C6" s="2">
        <f>_xlfn.LET(_xlpm.startDate,DATE($B$1,$D$1,1),_xlpm.firstDayOfWeek,WEEKDAY(_xlpm.startDate),_xlpm.dayNum,17-_xlpm.firstDayOfWeek+1,_xlpm.lastDay,DAY(EOMONTH(_xlpm.startDate,0)),IF(AND(_xlpm.dayNum&gt;=1,_xlpm.dayNum&lt;=_xlpm.lastDay),_xlpm.dayNum,""))</f>
        <v>12</v>
      </c>
      <c r="D6" s="2">
        <f>_xlfn.LET(_xlpm.startDate,DATE($B$1,$D$1,1),_xlpm.firstDayOfWeek,WEEKDAY(_xlpm.startDate),_xlpm.dayNum,18-_xlpm.firstDayOfWeek+1,_xlpm.lastDay,DAY(EOMONTH(_xlpm.startDate,0)),IF(AND(_xlpm.dayNum&gt;=1,_xlpm.dayNum&lt;=_xlpm.lastDay),_xlpm.dayNum,""))</f>
        <v>13</v>
      </c>
      <c r="E6" s="2">
        <f>_xlfn.LET(_xlpm.startDate,DATE($B$1,$D$1,1),_xlpm.firstDayOfWeek,WEEKDAY(_xlpm.startDate),_xlpm.dayNum,19-_xlpm.firstDayOfWeek+1,_xlpm.lastDay,DAY(EOMONTH(_xlpm.startDate,0)),IF(AND(_xlpm.dayNum&gt;=1,_xlpm.dayNum&lt;=_xlpm.lastDay),_xlpm.dayNum,""))</f>
        <v>14</v>
      </c>
      <c r="F6" s="2">
        <f>_xlfn.LET(_xlpm.startDate,DATE($B$1,$D$1,1),_xlpm.firstDayOfWeek,WEEKDAY(_xlpm.startDate),_xlpm.dayNum,20-_xlpm.firstDayOfWeek+1,_xlpm.lastDay,DAY(EOMONTH(_xlpm.startDate,0)),IF(AND(_xlpm.dayNum&gt;=1,_xlpm.dayNum&lt;=_xlpm.lastDay),_xlpm.dayNum,""))</f>
        <v>15</v>
      </c>
      <c r="G6" s="4">
        <f>_xlfn.LET(_xlpm.startDate,DATE($B$1,$D$1,1),_xlpm.firstDayOfWeek,WEEKDAY(_xlpm.startDate),_xlpm.dayNum,21-_xlpm.firstDayOfWeek+1,_xlpm.lastDay,DAY(EOMONTH(_xlpm.startDate,0)),IF(AND(_xlpm.dayNum&gt;=1,_xlpm.dayNum&lt;=_xlpm.lastDay),_xlpm.dayNum,""))</f>
        <v>16</v>
      </c>
    </row>
    <row r="7" spans="1:7" x14ac:dyDescent="0.45">
      <c r="A7" s="3">
        <f>_xlfn.LET(_xlpm.startDate,DATE($B$1,$D$1,1),_xlpm.firstDayOfWeek,WEEKDAY(_xlpm.startDate),_xlpm.dayNum,22-_xlpm.firstDayOfWeek+1,_xlpm.lastDay,DAY(EOMONTH(_xlpm.startDate,0)),IF(AND(_xlpm.dayNum&gt;=1,_xlpm.dayNum&lt;=_xlpm.lastDay),_xlpm.dayNum,""))</f>
        <v>17</v>
      </c>
      <c r="B7" s="2">
        <f>_xlfn.LET(_xlpm.startDate,DATE($B$1,$D$1,1),_xlpm.firstDayOfWeek,WEEKDAY(_xlpm.startDate),_xlpm.dayNum,23-_xlpm.firstDayOfWeek+1,_xlpm.lastDay,DAY(EOMONTH(_xlpm.startDate,0)),IF(AND(_xlpm.dayNum&gt;=1,_xlpm.dayNum&lt;=_xlpm.lastDay),_xlpm.dayNum,""))</f>
        <v>18</v>
      </c>
      <c r="C7" s="2">
        <f>_xlfn.LET(_xlpm.startDate,DATE($B$1,$D$1,1),_xlpm.firstDayOfWeek,WEEKDAY(_xlpm.startDate),_xlpm.dayNum,24-_xlpm.firstDayOfWeek+1,_xlpm.lastDay,DAY(EOMONTH(_xlpm.startDate,0)),IF(AND(_xlpm.dayNum&gt;=1,_xlpm.dayNum&lt;=_xlpm.lastDay),_xlpm.dayNum,""))</f>
        <v>19</v>
      </c>
      <c r="D7" s="2">
        <f>_xlfn.LET(_xlpm.startDate,DATE($B$1,$D$1,1),_xlpm.firstDayOfWeek,WEEKDAY(_xlpm.startDate),_xlpm.dayNum,25-_xlpm.firstDayOfWeek+1,_xlpm.lastDay,DAY(EOMONTH(_xlpm.startDate,0)),IF(AND(_xlpm.dayNum&gt;=1,_xlpm.dayNum&lt;=_xlpm.lastDay),_xlpm.dayNum,""))</f>
        <v>20</v>
      </c>
      <c r="E7" s="2">
        <f>_xlfn.LET(_xlpm.startDate,DATE($B$1,$D$1,1),_xlpm.firstDayOfWeek,WEEKDAY(_xlpm.startDate),_xlpm.dayNum,26-_xlpm.firstDayOfWeek+1,_xlpm.lastDay,DAY(EOMONTH(_xlpm.startDate,0)),IF(AND(_xlpm.dayNum&gt;=1,_xlpm.dayNum&lt;=_xlpm.lastDay),_xlpm.dayNum,""))</f>
        <v>21</v>
      </c>
      <c r="F7" s="2">
        <f>_xlfn.LET(_xlpm.startDate,DATE($B$1,$D$1,1),_xlpm.firstDayOfWeek,WEEKDAY(_xlpm.startDate),_xlpm.dayNum,27-_xlpm.firstDayOfWeek+1,_xlpm.lastDay,DAY(EOMONTH(_xlpm.startDate,0)),IF(AND(_xlpm.dayNum&gt;=1,_xlpm.dayNum&lt;=_xlpm.lastDay),_xlpm.dayNum,""))</f>
        <v>22</v>
      </c>
      <c r="G7" s="4">
        <f>_xlfn.LET(_xlpm.startDate,DATE($B$1,$D$1,1),_xlpm.firstDayOfWeek,WEEKDAY(_xlpm.startDate),_xlpm.dayNum,28-_xlpm.firstDayOfWeek+1,_xlpm.lastDay,DAY(EOMONTH(_xlpm.startDate,0)),IF(AND(_xlpm.dayNum&gt;=1,_xlpm.dayNum&lt;=_xlpm.lastDay),_xlpm.dayNum,""))</f>
        <v>23</v>
      </c>
    </row>
    <row r="8" spans="1:7" x14ac:dyDescent="0.45">
      <c r="A8" s="3">
        <f>_xlfn.LET(_xlpm.startDate,DATE($B$1,$D$1,1),_xlpm.firstDayOfWeek,WEEKDAY(_xlpm.startDate),_xlpm.dayNum,29-_xlpm.firstDayOfWeek+1,_xlpm.lastDay,DAY(EOMONTH(_xlpm.startDate,0)),IF(AND(_xlpm.dayNum&gt;=1,_xlpm.dayNum&lt;=_xlpm.lastDay),_xlpm.dayNum,""))</f>
        <v>24</v>
      </c>
      <c r="B8" s="2">
        <f>_xlfn.LET(_xlpm.startDate,DATE($B$1,$D$1,1),_xlpm.firstDayOfWeek,WEEKDAY(_xlpm.startDate),_xlpm.dayNum,30-_xlpm.firstDayOfWeek+1,_xlpm.lastDay,DAY(EOMONTH(_xlpm.startDate,0)),IF(AND(_xlpm.dayNum&gt;=1,_xlpm.dayNum&lt;=_xlpm.lastDay),_xlpm.dayNum,""))</f>
        <v>25</v>
      </c>
      <c r="C8" s="2">
        <f>_xlfn.LET(_xlpm.startDate,DATE($B$1,$D$1,1),_xlpm.firstDayOfWeek,WEEKDAY(_xlpm.startDate),_xlpm.dayNum,31-_xlpm.firstDayOfWeek+1,_xlpm.lastDay,DAY(EOMONTH(_xlpm.startDate,0)),IF(AND(_xlpm.dayNum&gt;=1,_xlpm.dayNum&lt;=_xlpm.lastDay),_xlpm.dayNum,""))</f>
        <v>26</v>
      </c>
      <c r="D8" s="2">
        <f>_xlfn.LET(_xlpm.startDate,DATE($B$1,$D$1,1),_xlpm.firstDayOfWeek,WEEKDAY(_xlpm.startDate),_xlpm.dayNum,32-_xlpm.firstDayOfWeek+1,_xlpm.lastDay,DAY(EOMONTH(_xlpm.startDate,0)),IF(AND(_xlpm.dayNum&gt;=1,_xlpm.dayNum&lt;=_xlpm.lastDay),_xlpm.dayNum,""))</f>
        <v>27</v>
      </c>
      <c r="E8" s="2">
        <f>_xlfn.LET(_xlpm.startDate,DATE($B$1,$D$1,1),_xlpm.firstDayOfWeek,WEEKDAY(_xlpm.startDate),_xlpm.dayNum,33-_xlpm.firstDayOfWeek+1,_xlpm.lastDay,DAY(EOMONTH(_xlpm.startDate,0)),IF(AND(_xlpm.dayNum&gt;=1,_xlpm.dayNum&lt;=_xlpm.lastDay),_xlpm.dayNum,""))</f>
        <v>28</v>
      </c>
      <c r="F8" s="2">
        <f>_xlfn.LET(_xlpm.startDate,DATE($B$1,$D$1,1),_xlpm.firstDayOfWeek,WEEKDAY(_xlpm.startDate),_xlpm.dayNum,34-_xlpm.firstDayOfWeek+1,_xlpm.lastDay,DAY(EOMONTH(_xlpm.startDate,0)),IF(AND(_xlpm.dayNum&gt;=1,_xlpm.dayNum&lt;=_xlpm.lastDay),_xlpm.dayNum,""))</f>
        <v>29</v>
      </c>
      <c r="G8" s="4">
        <f>_xlfn.LET(_xlpm.startDate,DATE($B$1,$D$1,1),_xlpm.firstDayOfWeek,WEEKDAY(_xlpm.startDate),_xlpm.dayNum,35-_xlpm.firstDayOfWeek+1,_xlpm.lastDay,DAY(EOMONTH(_xlpm.startDate,0)),IF(AND(_xlpm.dayNum&gt;=1,_xlpm.dayNum&lt;=_xlpm.lastDay),_xlpm.dayNum,""))</f>
        <v>30</v>
      </c>
    </row>
    <row r="9" spans="1:7" x14ac:dyDescent="0.45">
      <c r="A9" s="3">
        <f>_xlfn.LET(_xlpm.startDate,DATE($B$1,$D$1,1),_xlpm.firstDayOfWeek,WEEKDAY(_xlpm.startDate),_xlpm.dayNum,36-_xlpm.firstDayOfWeek+1,_xlpm.lastDay,DAY(EOMONTH(_xlpm.startDate,0)),IF(AND(_xlpm.dayNum&gt;=1,_xlpm.dayNum&lt;=_xlpm.lastDay),_xlpm.dayNum,""))</f>
        <v>31</v>
      </c>
      <c r="B9" s="2" t="str">
        <f>_xlfn.LET(_xlpm.startDate,DATE($B$1,$D$1,1),_xlpm.firstDayOfWeek,WEEKDAY(_xlpm.startDate),_xlpm.dayNum,37-_xlpm.firstDayOfWeek+1,_xlpm.lastDay,DAY(EOMONTH(_xlpm.startDate,0)),IF(AND(_xlpm.dayNum&gt;=1,_xlpm.dayNum&lt;=_xlpm.lastDay),_xlpm.dayNum,""))</f>
        <v/>
      </c>
      <c r="C9" s="2" t="str">
        <f>_xlfn.LET(_xlpm.startDate,DATE($B$1,$D$1,1),_xlpm.firstDayOfWeek,WEEKDAY(_xlpm.startDate),_xlpm.dayNum,38-_xlpm.firstDayOfWeek+1,_xlpm.lastDay,DAY(EOMONTH(_xlpm.startDate,0)),IF(AND(_xlpm.dayNum&gt;=1,_xlpm.dayNum&lt;=_xlpm.lastDay),_xlpm.dayNum,""))</f>
        <v/>
      </c>
      <c r="D9" s="2" t="str">
        <f>_xlfn.LET(_xlpm.startDate,DATE($B$1,$D$1,1),_xlpm.firstDayOfWeek,WEEKDAY(_xlpm.startDate),_xlpm.dayNum,39-_xlpm.firstDayOfWeek+1,_xlpm.lastDay,DAY(EOMONTH(_xlpm.startDate,0)),IF(AND(_xlpm.dayNum&gt;=1,_xlpm.dayNum&lt;=_xlpm.lastDay),_xlpm.dayNum,""))</f>
        <v/>
      </c>
      <c r="E9" s="2" t="str">
        <f>_xlfn.LET(_xlpm.startDate,DATE($B$1,$D$1,1),_xlpm.firstDayOfWeek,WEEKDAY(_xlpm.startDate),_xlpm.dayNum,40-_xlpm.firstDayOfWeek+1,_xlpm.lastDay,DAY(EOMONTH(_xlpm.startDate,0)),IF(AND(_xlpm.dayNum&gt;=1,_xlpm.dayNum&lt;=_xlpm.lastDay),_xlpm.dayNum,""))</f>
        <v/>
      </c>
      <c r="F9" s="2" t="str">
        <f>_xlfn.LET(_xlpm.startDate,DATE($B$1,$D$1,1),_xlpm.firstDayOfWeek,WEEKDAY(_xlpm.startDate),_xlpm.dayNum,41-_xlpm.firstDayOfWeek+1,_xlpm.lastDay,DAY(EOMONTH(_xlpm.startDate,0)),IF(AND(_xlpm.dayNum&gt;=1,_xlpm.dayNum&lt;=_xlpm.lastDay),_xlpm.dayNum,""))</f>
        <v/>
      </c>
      <c r="G9" s="4" t="str">
        <f>_xlfn.LET(_xlpm.startDate,DATE($B$1,$D$1,1),_xlpm.firstDayOfWeek,WEEKDAY(_xlpm.startDate),_xlpm.dayNum,42-_xlpm.firstDayOfWeek+1,_xlpm.lastDay,DAY(EOMONTH(_xlpm.startDate,0)),IF(AND(_xlpm.dayNum&gt;=1,_xlpm.dayNum&lt;=_xlpm.lastDay),_xlpm.dayNum,""))</f>
        <v/>
      </c>
    </row>
  </sheetData>
  <phoneticPr fontId="5"/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記録</vt:lpstr>
      <vt:lpstr>説明</vt:lpstr>
      <vt:lpstr>万年カレンダー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圭祐 中村</dc:creator>
  <cp:lastModifiedBy>166 jsmf</cp:lastModifiedBy>
  <dcterms:created xsi:type="dcterms:W3CDTF">2026-05-26T08:34:36Z</dcterms:created>
  <dcterms:modified xsi:type="dcterms:W3CDTF">2026-05-28T04:28:31Z</dcterms:modified>
</cp:coreProperties>
</file>